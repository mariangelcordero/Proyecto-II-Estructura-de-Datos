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xpertscr-my.sharepoint.com/personal/sbrenes_it-experts-latam_com/Documents/UNA/Docente/2025/EIF 207 -  Estructura de datos 2025 - II Semestre/PROYECTO 02/"/>
    </mc:Choice>
  </mc:AlternateContent>
  <xr:revisionPtr revIDLastSave="1" documentId="13_ncr:1_{F71C7C04-69EF-433E-BF23-962860F8A9C6}" xr6:coauthVersionLast="47" xr6:coauthVersionMax="47" xr10:uidLastSave="{B35A75AF-0E88-4B37-86F4-7207B287A1F2}"/>
  <bookViews>
    <workbookView xWindow="-105" yWindow="0" windowWidth="26010" windowHeight="20985" xr2:uid="{B6EA24BD-1058-4CA5-B3AE-134F718784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1" l="1"/>
  <c r="E44" i="1"/>
  <c r="C44" i="1"/>
  <c r="J35" i="1"/>
  <c r="J37" i="1" s="1"/>
  <c r="K37" i="1"/>
  <c r="L37" i="1"/>
  <c r="J13" i="1"/>
  <c r="J12" i="1"/>
  <c r="D43" i="1"/>
  <c r="C43" i="1"/>
  <c r="C42" i="1"/>
  <c r="C23" i="1" l="1"/>
  <c r="C34" i="1" s="1"/>
  <c r="L38" i="1"/>
  <c r="L39" i="1" s="1"/>
  <c r="C22" i="1"/>
  <c r="C33" i="1" s="1"/>
  <c r="C21" i="1"/>
  <c r="C32" i="1" s="1"/>
  <c r="C20" i="1"/>
  <c r="C31" i="1" s="1"/>
</calcChain>
</file>

<file path=xl/sharedStrings.xml><?xml version="1.0" encoding="utf-8"?>
<sst xmlns="http://schemas.openxmlformats.org/spreadsheetml/2006/main" count="85" uniqueCount="48">
  <si>
    <t>TOYSTORY</t>
  </si>
  <si>
    <t>AÑO</t>
  </si>
  <si>
    <t>GENERO</t>
  </si>
  <si>
    <t>VOLVER AL FUTURO</t>
  </si>
  <si>
    <t>PARQUE JURASICO</t>
  </si>
  <si>
    <t>CIENCIA FICCION</t>
  </si>
  <si>
    <t>ANIMACION</t>
  </si>
  <si>
    <t>VECTOR DE GÉNERO</t>
  </si>
  <si>
    <t>[ANIMACION, CIENCIA_FICCION]</t>
  </si>
  <si>
    <t>GENERO (ONEHOT)</t>
  </si>
  <si>
    <t>[1, 0]</t>
  </si>
  <si>
    <t>[0,1]</t>
  </si>
  <si>
    <t>NORMALIZAR</t>
  </si>
  <si>
    <t>NORMALIZAR NUMEROS</t>
  </si>
  <si>
    <t>max</t>
  </si>
  <si>
    <t>min</t>
  </si>
  <si>
    <t>CREAR VECTORES NUMERICOS NORMALIZADOS</t>
  </si>
  <si>
    <t>D1</t>
  </si>
  <si>
    <t>D2</t>
  </si>
  <si>
    <t>D3</t>
  </si>
  <si>
    <t>SE DEFIJEN LOS PESOS RELATIVOS</t>
  </si>
  <si>
    <t>Año</t>
  </si>
  <si>
    <t>Genero</t>
  </si>
  <si>
    <t>SE CREA LA MATRIZ DE DISTANCIA</t>
  </si>
  <si>
    <t xml:space="preserve">STARWARS </t>
  </si>
  <si>
    <t>SE CREAR LOS CLUSTERS</t>
  </si>
  <si>
    <t>Paso 1. identtificar la distancia más pequeña:</t>
  </si>
  <si>
    <r>
      <t>VOLVER AL FUTURO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STAR WARS</t>
    </r>
  </si>
  <si>
    <t>Se crear el nuevo cluster C1 = {Volver al futor y star wars}</t>
  </si>
  <si>
    <t xml:space="preserve">Paso 2. Recalcular la matriz </t>
  </si>
  <si>
    <t xml:space="preserve">Se trata C1 como un solo grupo </t>
  </si>
  <si>
    <t>Se utiliza la distancia promedio para el nuevo cluster</t>
  </si>
  <si>
    <t>TOYSTORY ↔ C₁</t>
  </si>
  <si>
    <t>(1.50 + 1.50) / 2</t>
  </si>
  <si>
    <t>PARQUE JURÁSICO ↔ C₁</t>
  </si>
  <si>
    <t>(0.40 + 0.4444) / 2</t>
  </si>
  <si>
    <t>CALCULO</t>
  </si>
  <si>
    <t xml:space="preserve">DISTANCIA PROMEDIO </t>
  </si>
  <si>
    <t>Nueva matriz reducida</t>
  </si>
  <si>
    <t>PARQUE JURÁSICO</t>
  </si>
  <si>
    <t>C₁ (VOLVER+STAR)</t>
  </si>
  <si>
    <t>C₁</t>
  </si>
  <si>
    <r>
      <t xml:space="preserve">El menor valor ahora es </t>
    </r>
    <r>
      <rPr>
        <b/>
        <sz val="11"/>
        <color theme="1"/>
        <rFont val="Aptos Narrow"/>
        <family val="2"/>
        <scheme val="minor"/>
      </rPr>
      <t>0.4222</t>
    </r>
    <r>
      <rPr>
        <sz val="11"/>
        <color theme="1"/>
        <rFont val="Aptos Narrow"/>
        <family val="2"/>
        <scheme val="minor"/>
      </rPr>
      <t>, entre</t>
    </r>
  </si>
  <si>
    <r>
      <t>PARQUE JURÁSICO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C₁ (VOLVER AL FUTURO + STAR WARS)</t>
    </r>
  </si>
  <si>
    <t>C2​={PARQUE JURASICO, VOLVER AL FUTURO, STAR WARS}</t>
  </si>
  <si>
    <t>TOYSTORY ↔ C₂</t>
  </si>
  <si>
    <t>(1.42 + 1.50 + 1.50) / 3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</si>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</sst>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1025" name="AutoShape 1" descr="Imagen de salida">
          <a:extLst>
            <a:ext uri="{FF2B5EF4-FFF2-40B4-BE49-F238E27FC236}">
              <a16:creationId xmlns:a16="http://schemas.microsoft.com/office/drawing/2014/main" id="{13304589-58AC-0B70-AD4A-E9DD2AF8737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026" name="AutoShape 2" descr="Imagen de salida">
          <a:extLst>
            <a:ext uri="{FF2B5EF4-FFF2-40B4-BE49-F238E27FC236}">
              <a16:creationId xmlns:a16="http://schemas.microsoft.com/office/drawing/2014/main" id="{61CF64BF-2D5B-ABCC-0A06-B1340EB6F13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7</xdr:col>
      <xdr:colOff>236920</xdr:colOff>
      <xdr:row>104</xdr:row>
      <xdr:rowOff>76822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1F108-0CBE-7E7B-DB6D-FD4F50BE8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5621000"/>
          <a:ext cx="9173855" cy="4458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5737-E017-47E0-A9DC-B453621D36A9}">
  <dimension ref="B2:L85"/>
  <sheetViews>
    <sheetView tabSelected="1" topLeftCell="A28" zoomScale="115" zoomScaleNormal="115" workbookViewId="0">
      <selection activeCell="E26" sqref="E26"/>
    </sheetView>
  </sheetViews>
  <sheetFormatPr baseColWidth="10" defaultRowHeight="15" x14ac:dyDescent="0.25"/>
  <cols>
    <col min="2" max="2" width="32.140625" style="9" customWidth="1"/>
    <col min="3" max="3" width="29.42578125" style="1" bestFit="1" customWidth="1"/>
    <col min="4" max="4" width="20.85546875" style="1" bestFit="1" customWidth="1"/>
    <col min="5" max="5" width="17.28515625" bestFit="1" customWidth="1"/>
    <col min="6" max="6" width="22.85546875" bestFit="1" customWidth="1"/>
  </cols>
  <sheetData>
    <row r="2" spans="2:10" x14ac:dyDescent="0.25">
      <c r="B2" s="6"/>
      <c r="C2" s="3" t="s">
        <v>1</v>
      </c>
      <c r="D2" s="3" t="s">
        <v>2</v>
      </c>
    </row>
    <row r="3" spans="2:10" x14ac:dyDescent="0.25">
      <c r="B3" s="7" t="s">
        <v>0</v>
      </c>
      <c r="C3" s="2">
        <v>1995</v>
      </c>
      <c r="D3" s="2" t="s">
        <v>6</v>
      </c>
    </row>
    <row r="4" spans="2:10" x14ac:dyDescent="0.25">
      <c r="B4" s="7" t="s">
        <v>3</v>
      </c>
      <c r="C4" s="2">
        <v>1985</v>
      </c>
      <c r="D4" s="2" t="s">
        <v>5</v>
      </c>
    </row>
    <row r="5" spans="2:10" x14ac:dyDescent="0.25">
      <c r="B5" s="7" t="s">
        <v>4</v>
      </c>
      <c r="C5" s="2">
        <v>1993</v>
      </c>
      <c r="D5" s="2" t="s">
        <v>5</v>
      </c>
    </row>
    <row r="6" spans="2:10" x14ac:dyDescent="0.25">
      <c r="B6" s="7" t="s">
        <v>24</v>
      </c>
      <c r="C6" s="2">
        <v>1977</v>
      </c>
      <c r="D6" s="2" t="s">
        <v>5</v>
      </c>
    </row>
    <row r="8" spans="2:10" x14ac:dyDescent="0.25">
      <c r="B8" s="8" t="s">
        <v>7</v>
      </c>
      <c r="C8" s="1" t="s">
        <v>8</v>
      </c>
    </row>
    <row r="11" spans="2:10" x14ac:dyDescent="0.25">
      <c r="B11" s="8" t="s">
        <v>12</v>
      </c>
    </row>
    <row r="12" spans="2:10" x14ac:dyDescent="0.25">
      <c r="B12" s="6"/>
      <c r="C12" s="3" t="s">
        <v>1</v>
      </c>
      <c r="D12" s="3" t="s">
        <v>9</v>
      </c>
      <c r="F12" s="4" t="s">
        <v>13</v>
      </c>
      <c r="I12" t="s">
        <v>14</v>
      </c>
      <c r="J12">
        <f>MAX(C13:C16)</f>
        <v>1995</v>
      </c>
    </row>
    <row r="13" spans="2:10" x14ac:dyDescent="0.25">
      <c r="B13" s="7" t="s">
        <v>0</v>
      </c>
      <c r="C13" s="2">
        <v>1995</v>
      </c>
      <c r="D13" s="2" t="s">
        <v>10</v>
      </c>
      <c r="I13" t="s">
        <v>15</v>
      </c>
      <c r="J13">
        <f>MIN(C13:C16)</f>
        <v>1977</v>
      </c>
    </row>
    <row r="14" spans="2:10" x14ac:dyDescent="0.25">
      <c r="B14" s="7" t="s">
        <v>3</v>
      </c>
      <c r="C14" s="2">
        <v>1985</v>
      </c>
      <c r="D14" s="2" t="s">
        <v>11</v>
      </c>
    </row>
    <row r="15" spans="2:10" x14ac:dyDescent="0.25">
      <c r="B15" s="7" t="s">
        <v>4</v>
      </c>
      <c r="C15" s="2">
        <v>1993</v>
      </c>
      <c r="D15" s="2" t="s">
        <v>11</v>
      </c>
    </row>
    <row r="16" spans="2:10" x14ac:dyDescent="0.25">
      <c r="B16" s="7" t="s">
        <v>24</v>
      </c>
      <c r="C16" s="2">
        <v>1977</v>
      </c>
      <c r="D16" s="2" t="s">
        <v>11</v>
      </c>
    </row>
    <row r="18" spans="2:5" x14ac:dyDescent="0.25">
      <c r="B18" s="8" t="s">
        <v>16</v>
      </c>
    </row>
    <row r="19" spans="2:5" x14ac:dyDescent="0.25">
      <c r="B19" s="7"/>
      <c r="C19" s="2" t="s">
        <v>17</v>
      </c>
      <c r="D19" s="2" t="s">
        <v>18</v>
      </c>
      <c r="E19" s="2" t="s">
        <v>19</v>
      </c>
    </row>
    <row r="20" spans="2:5" x14ac:dyDescent="0.25">
      <c r="B20" s="7" t="s">
        <v>0</v>
      </c>
      <c r="C20" s="2">
        <f>(C13-$J$13)/($J$12-$J$13)</f>
        <v>1</v>
      </c>
      <c r="D20" s="2">
        <v>1</v>
      </c>
      <c r="E20" s="2">
        <v>0</v>
      </c>
    </row>
    <row r="21" spans="2:5" x14ac:dyDescent="0.25">
      <c r="B21" s="7" t="s">
        <v>3</v>
      </c>
      <c r="C21" s="2">
        <f>(C14-$J$13)/($J$12-$J$13)</f>
        <v>0.44444444444444442</v>
      </c>
      <c r="D21" s="2">
        <v>0</v>
      </c>
      <c r="E21" s="2">
        <v>1</v>
      </c>
    </row>
    <row r="22" spans="2:5" x14ac:dyDescent="0.25">
      <c r="B22" s="7" t="s">
        <v>4</v>
      </c>
      <c r="C22" s="2">
        <f>(C15-$J$13)/($J$12-$J$13)</f>
        <v>0.88888888888888884</v>
      </c>
      <c r="D22" s="2">
        <v>0</v>
      </c>
      <c r="E22" s="2">
        <v>1</v>
      </c>
    </row>
    <row r="23" spans="2:5" x14ac:dyDescent="0.25">
      <c r="B23" s="7" t="s">
        <v>24</v>
      </c>
      <c r="C23" s="2">
        <f>(C16-$J$13)/($J$12-$J$13)</f>
        <v>0</v>
      </c>
      <c r="D23" s="2">
        <v>0</v>
      </c>
      <c r="E23" s="2">
        <v>1</v>
      </c>
    </row>
    <row r="26" spans="2:5" x14ac:dyDescent="0.25">
      <c r="B26" s="8" t="s">
        <v>20</v>
      </c>
    </row>
    <row r="27" spans="2:5" x14ac:dyDescent="0.25">
      <c r="B27" s="9" t="s">
        <v>21</v>
      </c>
      <c r="C27" s="1">
        <v>0.5</v>
      </c>
    </row>
    <row r="28" spans="2:5" x14ac:dyDescent="0.25">
      <c r="B28" s="9" t="s">
        <v>22</v>
      </c>
      <c r="C28" s="1">
        <v>1</v>
      </c>
    </row>
    <row r="30" spans="2:5" x14ac:dyDescent="0.25">
      <c r="B30" s="7"/>
      <c r="C30" s="2" t="s">
        <v>17</v>
      </c>
      <c r="D30" s="2" t="s">
        <v>18</v>
      </c>
      <c r="E30" s="2" t="s">
        <v>19</v>
      </c>
    </row>
    <row r="31" spans="2:5" x14ac:dyDescent="0.25">
      <c r="B31" s="7" t="s">
        <v>0</v>
      </c>
      <c r="C31" s="2">
        <f>C20*$C$27</f>
        <v>0.5</v>
      </c>
      <c r="D31" s="2">
        <v>1</v>
      </c>
      <c r="E31" s="2">
        <v>0</v>
      </c>
    </row>
    <row r="32" spans="2:5" x14ac:dyDescent="0.25">
      <c r="B32" s="7" t="s">
        <v>3</v>
      </c>
      <c r="C32" s="2">
        <f t="shared" ref="C32:C33" si="0">C21*$C$27</f>
        <v>0.22222222222222221</v>
      </c>
      <c r="D32" s="2">
        <v>0</v>
      </c>
      <c r="E32" s="2">
        <v>1</v>
      </c>
    </row>
    <row r="33" spans="2:12" x14ac:dyDescent="0.25">
      <c r="B33" s="7" t="s">
        <v>4</v>
      </c>
      <c r="C33" s="2">
        <f t="shared" si="0"/>
        <v>0.44444444444444442</v>
      </c>
      <c r="D33" s="2">
        <v>0</v>
      </c>
      <c r="E33" s="2">
        <v>1</v>
      </c>
    </row>
    <row r="34" spans="2:12" x14ac:dyDescent="0.25">
      <c r="B34" s="7" t="s">
        <v>24</v>
      </c>
      <c r="C34" s="2">
        <f>C23*$C$27</f>
        <v>0</v>
      </c>
      <c r="D34" s="2">
        <v>0</v>
      </c>
      <c r="E34" s="2">
        <v>1</v>
      </c>
    </row>
    <row r="35" spans="2:12" x14ac:dyDescent="0.25">
      <c r="I35" s="7" t="s">
        <v>24</v>
      </c>
      <c r="J35" s="2">
        <f>J24*$C$27</f>
        <v>0</v>
      </c>
      <c r="K35" s="2">
        <v>0</v>
      </c>
      <c r="L35" s="2">
        <v>1</v>
      </c>
    </row>
    <row r="36" spans="2:12" x14ac:dyDescent="0.25">
      <c r="I36" s="7"/>
      <c r="J36" s="2">
        <v>0.22222222222222221</v>
      </c>
      <c r="K36" s="2">
        <v>0</v>
      </c>
      <c r="L36" s="2">
        <v>1</v>
      </c>
    </row>
    <row r="37" spans="2:12" x14ac:dyDescent="0.25">
      <c r="B37" s="8" t="s">
        <v>23</v>
      </c>
      <c r="J37">
        <f t="shared" ref="J37:K37" si="1">(J35-J36)*(J35-J36)</f>
        <v>4.9382716049382713E-2</v>
      </c>
      <c r="K37">
        <f t="shared" si="1"/>
        <v>0</v>
      </c>
      <c r="L37">
        <f>(L35-L36)*(L35-L36)</f>
        <v>0</v>
      </c>
    </row>
    <row r="38" spans="2:12" x14ac:dyDescent="0.25">
      <c r="L38">
        <f>SUM(J37:L37)</f>
        <v>4.9382716049382713E-2</v>
      </c>
    </row>
    <row r="39" spans="2:12" x14ac:dyDescent="0.25">
      <c r="G39" s="1"/>
      <c r="H39" s="1"/>
      <c r="I39" s="1"/>
      <c r="J39" s="1"/>
      <c r="L39">
        <f>SQRT(L38)</f>
        <v>0.22222222222222221</v>
      </c>
    </row>
    <row r="40" spans="2:12" x14ac:dyDescent="0.25">
      <c r="C40" s="2" t="s">
        <v>0</v>
      </c>
      <c r="D40" s="2" t="s">
        <v>3</v>
      </c>
      <c r="E40" s="2" t="s">
        <v>4</v>
      </c>
      <c r="F40" s="2" t="s">
        <v>24</v>
      </c>
      <c r="G40" s="1"/>
      <c r="H40" s="1"/>
      <c r="I40" s="1"/>
      <c r="J40" s="1"/>
    </row>
    <row r="41" spans="2:12" x14ac:dyDescent="0.25">
      <c r="B41" s="7" t="s">
        <v>0</v>
      </c>
      <c r="C41" s="5">
        <v>0</v>
      </c>
      <c r="D41" s="5">
        <v>1.5</v>
      </c>
      <c r="E41" s="5">
        <v>1.4177446878757824</v>
      </c>
      <c r="F41" s="2">
        <v>1.5</v>
      </c>
      <c r="G41" s="1"/>
      <c r="H41" s="1"/>
      <c r="I41" s="1"/>
      <c r="J41" s="1"/>
    </row>
    <row r="42" spans="2:12" x14ac:dyDescent="0.25">
      <c r="B42" s="7" t="s">
        <v>3</v>
      </c>
      <c r="C42" s="5">
        <f>D41</f>
        <v>1.5</v>
      </c>
      <c r="D42" s="5">
        <v>0</v>
      </c>
      <c r="E42" s="5">
        <v>0.4</v>
      </c>
      <c r="F42" s="2">
        <v>0.22222222222222221</v>
      </c>
      <c r="G42" s="1"/>
      <c r="H42" s="1"/>
      <c r="I42" s="1"/>
      <c r="J42" s="1"/>
    </row>
    <row r="43" spans="2:12" x14ac:dyDescent="0.25">
      <c r="B43" s="7" t="s">
        <v>4</v>
      </c>
      <c r="C43" s="5">
        <f>E41</f>
        <v>1.4177446878757824</v>
      </c>
      <c r="D43" s="5">
        <f>E42</f>
        <v>0.4</v>
      </c>
      <c r="E43" s="5">
        <v>0</v>
      </c>
      <c r="F43" s="2">
        <v>0.44444444444444442</v>
      </c>
      <c r="G43" s="1"/>
      <c r="H43" s="1"/>
      <c r="I43" s="1"/>
      <c r="J43" s="1"/>
    </row>
    <row r="44" spans="2:12" x14ac:dyDescent="0.25">
      <c r="B44" s="7" t="s">
        <v>24</v>
      </c>
      <c r="C44" s="2">
        <f>F41</f>
        <v>1.5</v>
      </c>
      <c r="D44" s="2">
        <v>0.22222222222222221</v>
      </c>
      <c r="E44" s="2">
        <f>F43</f>
        <v>0.44444444444444442</v>
      </c>
      <c r="F44" s="2">
        <v>0</v>
      </c>
    </row>
    <row r="48" spans="2:12" x14ac:dyDescent="0.25">
      <c r="B48" s="8" t="s">
        <v>25</v>
      </c>
    </row>
    <row r="49" spans="2:5" x14ac:dyDescent="0.25">
      <c r="B49" s="9" t="s">
        <v>26</v>
      </c>
    </row>
    <row r="50" spans="2:5" x14ac:dyDescent="0.25">
      <c r="B50" s="4" t="s">
        <v>27</v>
      </c>
    </row>
    <row r="51" spans="2:5" x14ac:dyDescent="0.25">
      <c r="B51" s="9" t="s">
        <v>28</v>
      </c>
    </row>
    <row r="53" spans="2:5" x14ac:dyDescent="0.25">
      <c r="B53" s="9" t="s">
        <v>29</v>
      </c>
    </row>
    <row r="54" spans="2:5" x14ac:dyDescent="0.25">
      <c r="B54" s="9" t="s">
        <v>30</v>
      </c>
    </row>
    <row r="55" spans="2:5" x14ac:dyDescent="0.25">
      <c r="B55" s="9" t="s">
        <v>31</v>
      </c>
    </row>
    <row r="58" spans="2:5" x14ac:dyDescent="0.25">
      <c r="C58" s="1" t="s">
        <v>36</v>
      </c>
      <c r="D58" s="1" t="s">
        <v>37</v>
      </c>
    </row>
    <row r="59" spans="2:5" x14ac:dyDescent="0.25">
      <c r="B59" s="10" t="s">
        <v>32</v>
      </c>
      <c r="C59" s="11" t="s">
        <v>33</v>
      </c>
      <c r="D59" s="12">
        <v>1.5</v>
      </c>
    </row>
    <row r="60" spans="2:5" x14ac:dyDescent="0.25">
      <c r="B60" s="10" t="s">
        <v>34</v>
      </c>
      <c r="C60" s="11" t="s">
        <v>35</v>
      </c>
      <c r="D60" s="12">
        <v>0.42220000000000002</v>
      </c>
    </row>
    <row r="62" spans="2:5" x14ac:dyDescent="0.25">
      <c r="B62" s="9" t="s">
        <v>38</v>
      </c>
    </row>
    <row r="64" spans="2:5" ht="30" x14ac:dyDescent="0.25">
      <c r="B64" s="13"/>
      <c r="C64" s="13" t="s">
        <v>0</v>
      </c>
      <c r="D64" s="13" t="s">
        <v>39</v>
      </c>
      <c r="E64" s="13" t="s">
        <v>40</v>
      </c>
    </row>
    <row r="65" spans="2:5" x14ac:dyDescent="0.25">
      <c r="B65" s="13" t="s">
        <v>0</v>
      </c>
      <c r="C65" s="14">
        <v>0</v>
      </c>
      <c r="D65" s="14">
        <v>1.42</v>
      </c>
      <c r="E65" s="14">
        <v>1.5</v>
      </c>
    </row>
    <row r="66" spans="2:5" x14ac:dyDescent="0.25">
      <c r="B66" s="13" t="s">
        <v>39</v>
      </c>
      <c r="C66" s="14">
        <v>1.42</v>
      </c>
      <c r="D66" s="14">
        <v>0</v>
      </c>
      <c r="E66" s="14">
        <v>0.42220000000000002</v>
      </c>
    </row>
    <row r="67" spans="2:5" x14ac:dyDescent="0.25">
      <c r="B67" s="13" t="s">
        <v>41</v>
      </c>
      <c r="C67" s="14">
        <v>1.5</v>
      </c>
      <c r="D67" s="14">
        <v>0.42220000000000002</v>
      </c>
      <c r="E67" s="14">
        <v>0</v>
      </c>
    </row>
    <row r="69" spans="2:5" x14ac:dyDescent="0.25">
      <c r="B69" t="s">
        <v>42</v>
      </c>
    </row>
    <row r="70" spans="2:5" x14ac:dyDescent="0.25">
      <c r="B70" s="4" t="s">
        <v>43</v>
      </c>
    </row>
    <row r="72" spans="2:5" x14ac:dyDescent="0.25">
      <c r="B72" t="s">
        <v>44</v>
      </c>
    </row>
    <row r="74" spans="2:5" x14ac:dyDescent="0.25">
      <c r="B74" s="1"/>
      <c r="C74" s="1" t="s">
        <v>36</v>
      </c>
      <c r="D74" s="1" t="s">
        <v>37</v>
      </c>
    </row>
    <row r="75" spans="2:5" x14ac:dyDescent="0.25">
      <c r="B75" s="11" t="s">
        <v>45</v>
      </c>
      <c r="C75" s="11" t="s">
        <v>46</v>
      </c>
      <c r="D75" s="12">
        <v>1.4733000000000001</v>
      </c>
    </row>
    <row r="76" spans="2:5" x14ac:dyDescent="0.25">
      <c r="B76" s="10"/>
      <c r="C76" s="10"/>
      <c r="D76" s="12"/>
    </row>
    <row r="78" spans="2:5" x14ac:dyDescent="0.25">
      <c r="B78" s="13"/>
      <c r="C78" s="13" t="s">
        <v>0</v>
      </c>
      <c r="D78" s="13" t="s">
        <v>47</v>
      </c>
      <c r="E78" s="15"/>
    </row>
    <row r="79" spans="2:5" x14ac:dyDescent="0.25">
      <c r="B79" s="13" t="s">
        <v>0</v>
      </c>
      <c r="C79" s="14">
        <v>0</v>
      </c>
      <c r="D79" s="14">
        <f>D75</f>
        <v>1.4733000000000001</v>
      </c>
      <c r="E79" s="16"/>
    </row>
    <row r="80" spans="2:5" x14ac:dyDescent="0.25">
      <c r="B80" s="13" t="s">
        <v>47</v>
      </c>
      <c r="C80" s="14"/>
      <c r="D80" s="14">
        <v>0</v>
      </c>
      <c r="E80" s="16"/>
    </row>
    <row r="84" spans="2:2" x14ac:dyDescent="0.25">
      <c r="B84"/>
    </row>
    <row r="85" spans="2:2" x14ac:dyDescent="0.25">
      <c r="B8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Brenes Chavarría</dc:creator>
  <cp:lastModifiedBy>Steven Brenes Chavarría</cp:lastModifiedBy>
  <dcterms:created xsi:type="dcterms:W3CDTF">2025-10-09T17:05:25Z</dcterms:created>
  <dcterms:modified xsi:type="dcterms:W3CDTF">2026-10-12T22:57:20Z</dcterms:modified>
</cp:coreProperties>
</file>